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SUS\Desktop\"/>
    </mc:Choice>
  </mc:AlternateContent>
  <xr:revisionPtr revIDLastSave="0" documentId="13_ncr:1_{19625F0F-D08C-4DAA-8251-487FA819E620}" xr6:coauthVersionLast="47" xr6:coauthVersionMax="47" xr10:uidLastSave="{00000000-0000-0000-0000-000000000000}"/>
  <bookViews>
    <workbookView xWindow="-120" yWindow="-120" windowWidth="29040" windowHeight="15720" activeTab="1" xr2:uid="{A504205A-7871-4213-AAAB-064C15941173}"/>
  </bookViews>
  <sheets>
    <sheet name="Sheet4" sheetId="9" r:id="rId1"/>
    <sheet name="Sheet3" sheetId="8" r:id="rId2"/>
    <sheet name="Sheet2" sheetId="7" r:id="rId3"/>
    <sheet name="Sheet1" sheetId="1" r:id="rId4"/>
  </sheets>
  <definedNames>
    <definedName name="Slicer_Department">#N/A</definedName>
    <definedName name="Slicer_Department1">#N/A</definedName>
    <definedName name="Slicer_Department2">#N/A</definedName>
    <definedName name="Slicer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2" i="1" l="1"/>
  <c r="H2" i="1"/>
  <c r="H3" i="1"/>
  <c r="H4" i="1"/>
  <c r="H5" i="1"/>
  <c r="H6" i="1"/>
  <c r="H7" i="1"/>
  <c r="H8" i="1"/>
  <c r="H9" i="1"/>
  <c r="H10" i="1"/>
  <c r="H11" i="1"/>
  <c r="H12" i="1"/>
  <c r="H13" i="1"/>
  <c r="H14" i="1"/>
  <c r="H15" i="1"/>
  <c r="H16" i="1"/>
  <c r="B21" i="1"/>
  <c r="I16" i="1" l="1"/>
  <c r="I15" i="1"/>
  <c r="I14" i="1" l="1"/>
  <c r="I13" i="1" l="1"/>
  <c r="I12" i="1" l="1"/>
  <c r="I11" i="1" l="1"/>
  <c r="I10" i="1" l="1"/>
  <c r="I9" i="1" l="1"/>
  <c r="I8" i="1" l="1"/>
  <c r="I7" i="1" l="1"/>
  <c r="I6" i="1" l="1"/>
  <c r="I5" i="1" l="1"/>
  <c r="I4" i="1" l="1"/>
  <c r="I3" i="1" l="1"/>
  <c r="I2" i="1" l="1"/>
  <c r="B18" i="1"/>
  <c r="B19" i="1"/>
  <c r="B20" i="1"/>
</calcChain>
</file>

<file path=xl/sharedStrings.xml><?xml version="1.0" encoding="utf-8"?>
<sst xmlns="http://schemas.openxmlformats.org/spreadsheetml/2006/main" count="129" uniqueCount="56">
  <si>
    <t xml:space="preserve">emp_id </t>
  </si>
  <si>
    <t xml:space="preserve">Unit_price </t>
  </si>
  <si>
    <t>Sale_date</t>
  </si>
  <si>
    <t>E01</t>
  </si>
  <si>
    <t>E02</t>
  </si>
  <si>
    <t>E03</t>
  </si>
  <si>
    <t>E04</t>
  </si>
  <si>
    <t>E05</t>
  </si>
  <si>
    <t>E06</t>
  </si>
  <si>
    <t>E07</t>
  </si>
  <si>
    <t>E08</t>
  </si>
  <si>
    <t>E09</t>
  </si>
  <si>
    <t>E10</t>
  </si>
  <si>
    <t>Aarav</t>
  </si>
  <si>
    <t>Chirag</t>
  </si>
  <si>
    <t>Bhavya</t>
  </si>
  <si>
    <t>Diya</t>
  </si>
  <si>
    <t>Eshan</t>
  </si>
  <si>
    <t>Farah</t>
  </si>
  <si>
    <t>Gaurav</t>
  </si>
  <si>
    <t>Hina</t>
  </si>
  <si>
    <t>Ishan</t>
  </si>
  <si>
    <t>Jiya</t>
  </si>
  <si>
    <t xml:space="preserve">Name  </t>
  </si>
  <si>
    <t xml:space="preserve">Department  </t>
  </si>
  <si>
    <t>Product</t>
  </si>
  <si>
    <t>Quantity</t>
  </si>
  <si>
    <t>Fashion</t>
  </si>
  <si>
    <t>Grocery</t>
  </si>
  <si>
    <t>Laptop</t>
  </si>
  <si>
    <t>Saree</t>
  </si>
  <si>
    <t>Headphones</t>
  </si>
  <si>
    <t>Shoes</t>
  </si>
  <si>
    <t>Smartphone</t>
  </si>
  <si>
    <t>Tablet</t>
  </si>
  <si>
    <t>Rice (kg)</t>
  </si>
  <si>
    <t>Watch</t>
  </si>
  <si>
    <t>Oil (litre)</t>
  </si>
  <si>
    <t>Mouse</t>
  </si>
  <si>
    <t>T-shirt</t>
  </si>
  <si>
    <t>Sugar (kg)</t>
  </si>
  <si>
    <t>Backpack</t>
  </si>
  <si>
    <t>Charger</t>
  </si>
  <si>
    <t>Tea (gm)</t>
  </si>
  <si>
    <t>Total amount</t>
  </si>
  <si>
    <t>Bonus</t>
  </si>
  <si>
    <t>Total Revenue:</t>
  </si>
  <si>
    <t>Average Sale:</t>
  </si>
  <si>
    <t>Maximum Sale:</t>
  </si>
  <si>
    <t>Fashion Sales Count:</t>
  </si>
  <si>
    <t>Electronics Revenue:</t>
  </si>
  <si>
    <t>Electronics</t>
  </si>
  <si>
    <t>Sum of Total amount</t>
  </si>
  <si>
    <t>Sum of Quantity</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</si>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</sst>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Aptos Narrow"/>
      <family val="2"/>
      <scheme val="minor"/>
    </font>
    <font>
      <sz val="8"/>
      <name val="Aptos Narrow"/>
      <family val="2"/>
      <scheme val="minor"/>
    </font>
    <font>
      <sz val="16"/>
      <color theme="1"/>
      <name val="Aptos Narrow"/>
      <family val="2"/>
      <scheme val="minor"/>
    </font>
    <font>
      <b/>
      <sz val="18"/>
      <color rgb="FF00B0F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0" xfId="0" applyFont="1"/>
    <xf numFmtId="0" fontId="3" fillId="0" borderId="0" xfId="0" applyFont="1"/>
    <xf numFmtId="0" fontId="3" fillId="0" borderId="1" xfId="0" applyFont="1" applyBorder="1"/>
    <xf numFmtId="0" fontId="2" fillId="0" borderId="1" xfId="0" applyFont="1" applyBorder="1"/>
    <xf numFmtId="14" fontId="2" fillId="0" borderId="1" xfId="0" applyNumberFormat="1" applyFont="1" applyBorder="1"/>
    <xf numFmtId="0" fontId="0" fillId="0" borderId="1" xfId="0" applyBorder="1"/>
    <xf numFmtId="164" fontId="2" fillId="0" borderId="1" xfId="0" applyNumberFormat="1" applyFont="1" applyBorder="1"/>
    <xf numFmtId="164" fontId="2" fillId="0" borderId="0" xfId="0" applyNumberFormat="1" applyFont="1"/>
    <xf numFmtId="164" fontId="0" fillId="0" borderId="0" xfId="0" applyNumberFormat="1"/>
    <xf numFmtId="0" fontId="2"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[sales_data.xlsx]Sheet4!PivotTable20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cat>
            <c:multiLvlStrRef>
              <c:f>Sheet4!$A$2:$A$32</c:f>
              <c:multiLvlStrCache>
                <c:ptCount val="15"/>
                <c:lvl>
                  <c:pt idx="0">
                    <c:v>Fashion</c:v>
                  </c:pt>
                  <c:pt idx="1">
                    <c:v>Electronics</c:v>
                  </c:pt>
                  <c:pt idx="2">
                    <c:v>Electronics</c:v>
                  </c:pt>
                  <c:pt idx="3">
                    <c:v>Electronics</c:v>
                  </c:pt>
                  <c:pt idx="4">
                    <c:v>Electronics</c:v>
                  </c:pt>
                  <c:pt idx="5">
                    <c:v>Grocery</c:v>
                  </c:pt>
                  <c:pt idx="6">
                    <c:v>Grocery</c:v>
                  </c:pt>
                  <c:pt idx="7">
                    <c:v>Fashion</c:v>
                  </c:pt>
                  <c:pt idx="8">
                    <c:v>Fashion</c:v>
                  </c:pt>
                  <c:pt idx="9">
                    <c:v>Electronics</c:v>
                  </c:pt>
                  <c:pt idx="10">
                    <c:v>Grocery</c:v>
                  </c:pt>
                  <c:pt idx="11">
                    <c:v>Electronics</c:v>
                  </c:pt>
                  <c:pt idx="12">
                    <c:v>Grocery</c:v>
                  </c:pt>
                  <c:pt idx="13">
                    <c:v>Fashion</c:v>
                  </c:pt>
                  <c:pt idx="14">
                    <c:v>Fashion</c:v>
                  </c:pt>
                </c:lvl>
                <c:lvl>
                  <c:pt idx="0">
                    <c:v>Backpack</c:v>
                  </c:pt>
                  <c:pt idx="1">
                    <c:v>Charger</c:v>
                  </c:pt>
                  <c:pt idx="2">
                    <c:v>Headphones</c:v>
                  </c:pt>
                  <c:pt idx="3">
                    <c:v>Laptop</c:v>
                  </c:pt>
                  <c:pt idx="4">
                    <c:v>Mouse</c:v>
                  </c:pt>
                  <c:pt idx="5">
                    <c:v>Oil (litre)</c:v>
                  </c:pt>
                  <c:pt idx="6">
                    <c:v>Rice (kg)</c:v>
                  </c:pt>
                  <c:pt idx="7">
                    <c:v>Saree</c:v>
                  </c:pt>
                  <c:pt idx="8">
                    <c:v>Shoes</c:v>
                  </c:pt>
                  <c:pt idx="9">
                    <c:v>Smartphone</c:v>
                  </c:pt>
                  <c:pt idx="10">
                    <c:v>Sugar (kg)</c:v>
                  </c:pt>
                  <c:pt idx="11">
                    <c:v>Tablet</c:v>
                  </c:pt>
                  <c:pt idx="12">
                    <c:v>Tea (gm)</c:v>
                  </c:pt>
                  <c:pt idx="13">
                    <c:v>T-shirt</c:v>
                  </c:pt>
                  <c:pt idx="14">
                    <c:v>Watch</c:v>
                  </c:pt>
                </c:lvl>
              </c:multiLvlStrCache>
            </c:multiLvlStrRef>
          </c:cat>
          <c:val>
            <c:numRef>
              <c:f>Sheet4!$B$2:$B$32</c:f>
              <c:numCache>
                <c:formatCode>General</c:formatCode>
                <c:ptCount val="15"/>
                <c:pt idx="0">
                  <c:v>4</c:v>
                </c:pt>
                <c:pt idx="1">
                  <c:v>12</c:v>
                </c:pt>
                <c:pt idx="2">
                  <c:v>10</c:v>
                </c:pt>
                <c:pt idx="3">
                  <c:v>2</c:v>
                </c:pt>
                <c:pt idx="4">
                  <c:v>8</c:v>
                </c:pt>
                <c:pt idx="5">
                  <c:v>15</c:v>
                </c:pt>
                <c:pt idx="6">
                  <c:v>20</c:v>
                </c:pt>
                <c:pt idx="7">
                  <c:v>5</c:v>
                </c:pt>
                <c:pt idx="8">
                  <c:v>3</c:v>
                </c:pt>
                <c:pt idx="9">
                  <c:v>4</c:v>
                </c:pt>
                <c:pt idx="10">
                  <c:v>25</c:v>
                </c:pt>
                <c:pt idx="11">
                  <c:v>1</c:v>
                </c:pt>
                <c:pt idx="12">
                  <c:v>5</c:v>
                </c:pt>
                <c:pt idx="13">
                  <c:v>10</c:v>
                </c:pt>
                <c:pt idx="14">
                  <c:v>2</c:v>
                </c:pt>
              </c:numCache>
            </c:numRef>
          </c:val>
          <c:extLst>
            <c:ext xmlns:c16="http://schemas.microsoft.com/office/drawing/2014/chart" uri="{C3380CC4-5D6E-409C-BE32-E72D297353CC}">
              <c16:uniqueId val="{00000000-84DC-4ECC-BCA0-B94D9F862226}"/>
            </c:ext>
          </c:extLst>
        </c:ser>
        <c:dLbls>
          <c:showLegendKey val="0"/>
          <c:showVal val="0"/>
          <c:showCatName val="0"/>
          <c:showSerName val="0"/>
          <c:showPercent val="0"/>
          <c:showBubbleSize val="0"/>
        </c:dLbls>
        <c:gapWidth val="219"/>
        <c:overlap val="-27"/>
        <c:axId val="698161760"/>
        <c:axId val="698155040"/>
      </c:barChart>
      <c:catAx>
        <c:axId val="69816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155040"/>
        <c:crosses val="autoZero"/>
        <c:auto val="1"/>
        <c:lblAlgn val="ctr"/>
        <c:lblOffset val="100"/>
        <c:noMultiLvlLbl val="0"/>
      </c:catAx>
      <c:valAx>
        <c:axId val="69815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16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[sales_data.xlsx]Sheet3!PivotTable19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multiLvlStrRef>
              <c:f>Sheet3!$A$2:$A$15</c:f>
              <c:multiLvlStrCache>
                <c:ptCount val="10"/>
                <c:lvl>
                  <c:pt idx="0">
                    <c:v>Aarav</c:v>
                  </c:pt>
                  <c:pt idx="1">
                    <c:v>Chirag</c:v>
                  </c:pt>
                  <c:pt idx="2">
                    <c:v>Eshan</c:v>
                  </c:pt>
                  <c:pt idx="3">
                    <c:v>Bhavya</c:v>
                  </c:pt>
                  <c:pt idx="4">
                    <c:v>Diya</c:v>
                  </c:pt>
                  <c:pt idx="5">
                    <c:v>Gaurav</c:v>
                  </c:pt>
                  <c:pt idx="6">
                    <c:v>Farah</c:v>
                  </c:pt>
                  <c:pt idx="7">
                    <c:v>Hina</c:v>
                  </c:pt>
                  <c:pt idx="8">
                    <c:v>Ishan</c:v>
                  </c:pt>
                  <c:pt idx="9">
                    <c:v>Jiya</c:v>
                  </c:pt>
                </c:lvl>
                <c:lvl>
                  <c:pt idx="0">
                    <c:v>Electronics</c:v>
                  </c:pt>
                  <c:pt idx="3">
                    <c:v>Fashion</c:v>
                  </c:pt>
                  <c:pt idx="6">
                    <c:v>Grocery</c:v>
                  </c:pt>
                </c:lvl>
              </c:multiLvlStrCache>
            </c:multiLvlStrRef>
          </c:cat>
          <c:val>
            <c:numRef>
              <c:f>Sheet3!$B$2:$B$15</c:f>
              <c:numCache>
                <c:formatCode>General</c:formatCode>
                <c:ptCount val="10"/>
                <c:pt idx="0">
                  <c:v>128000</c:v>
                </c:pt>
                <c:pt idx="1">
                  <c:v>22192</c:v>
                </c:pt>
                <c:pt idx="2">
                  <c:v>135800</c:v>
                </c:pt>
                <c:pt idx="3">
                  <c:v>27490</c:v>
                </c:pt>
                <c:pt idx="4">
                  <c:v>13800</c:v>
                </c:pt>
                <c:pt idx="5">
                  <c:v>7000</c:v>
                </c:pt>
                <c:pt idx="6">
                  <c:v>1600</c:v>
                </c:pt>
                <c:pt idx="7">
                  <c:v>2700</c:v>
                </c:pt>
                <c:pt idx="8">
                  <c:v>1375</c:v>
                </c:pt>
                <c:pt idx="9">
                  <c:v>1750</c:v>
                </c:pt>
              </c:numCache>
            </c:numRef>
          </c:val>
          <c:extLst>
            <c:ext xmlns:c16="http://schemas.microsoft.com/office/drawing/2014/chart" uri="{C3380CC4-5D6E-409C-BE32-E72D297353CC}">
              <c16:uniqueId val="{00000000-5A69-4BE4-873A-D0BB2C15880D}"/>
            </c:ext>
          </c:extLst>
        </c:ser>
        <c:dLbls>
          <c:showLegendKey val="0"/>
          <c:showVal val="0"/>
          <c:showCatName val="0"/>
          <c:showSerName val="0"/>
          <c:showPercent val="0"/>
          <c:showBubbleSize val="0"/>
        </c:dLbls>
        <c:gapWidth val="219"/>
        <c:overlap val="-27"/>
        <c:axId val="647932800"/>
        <c:axId val="647933760"/>
      </c:barChart>
      <c:catAx>
        <c:axId val="64793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33760"/>
        <c:crosses val="autoZero"/>
        <c:auto val="1"/>
        <c:lblAlgn val="ctr"/>
        <c:lblOffset val="100"/>
        <c:noMultiLvlLbl val="0"/>
      </c:catAx>
      <c:valAx>
        <c:axId val="64793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3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[sales_data.xlsx]Sheet2!PivotTable18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Sheet2!$A$2:$A$5</c:f>
              <c:strCache>
                <c:ptCount val="3"/>
                <c:pt idx="0">
                  <c:v>Electronics</c:v>
                </c:pt>
                <c:pt idx="1">
                  <c:v>Fashion</c:v>
                </c:pt>
                <c:pt idx="2">
                  <c:v>Grocery</c:v>
                </c:pt>
              </c:strCache>
            </c:strRef>
          </c:cat>
          <c:val>
            <c:numRef>
              <c:f>Sheet2!$B$2:$B$5</c:f>
              <c:numCache>
                <c:formatCode>General</c:formatCode>
                <c:ptCount val="3"/>
                <c:pt idx="0">
                  <c:v>285992</c:v>
                </c:pt>
                <c:pt idx="1">
                  <c:v>48290</c:v>
                </c:pt>
                <c:pt idx="2">
                  <c:v>7425</c:v>
                </c:pt>
              </c:numCache>
            </c:numRef>
          </c:val>
          <c:extLst>
            <c:ext xmlns:c16="http://schemas.microsoft.com/office/drawing/2014/chart" uri="{C3380CC4-5D6E-409C-BE32-E72D297353CC}">
              <c16:uniqueId val="{00000000-A504-4E40-9C71-364FDB0A022D}"/>
            </c:ext>
          </c:extLst>
        </c:ser>
        <c:dLbls>
          <c:showLegendKey val="0"/>
          <c:showVal val="0"/>
          <c:showCatName val="0"/>
          <c:showSerName val="0"/>
          <c:showPercent val="0"/>
          <c:showBubbleSize val="0"/>
        </c:dLbls>
        <c:gapWidth val="219"/>
        <c:overlap val="-27"/>
        <c:axId val="642498304"/>
        <c:axId val="642502144"/>
      </c:barChart>
      <c:catAx>
        <c:axId val="64249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02144"/>
        <c:crosses val="autoZero"/>
        <c:auto val="1"/>
        <c:lblAlgn val="ctr"/>
        <c:lblOffset val="100"/>
        <c:noMultiLvlLbl val="0"/>
      </c:catAx>
      <c:valAx>
        <c:axId val="64250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49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Names vs Total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Sheet1!$D$2:$D$16</c:f>
              <c:strCache>
                <c:ptCount val="15"/>
                <c:pt idx="0">
                  <c:v>Laptop</c:v>
                </c:pt>
                <c:pt idx="1">
                  <c:v>Saree</c:v>
                </c:pt>
                <c:pt idx="2">
                  <c:v>Headphones</c:v>
                </c:pt>
                <c:pt idx="3">
                  <c:v>Shoes</c:v>
                </c:pt>
                <c:pt idx="4">
                  <c:v>Smartphone</c:v>
                </c:pt>
                <c:pt idx="5">
                  <c:v>Tablet</c:v>
                </c:pt>
                <c:pt idx="6">
                  <c:v>Rice (kg)</c:v>
                </c:pt>
                <c:pt idx="7">
                  <c:v>Watch</c:v>
                </c:pt>
                <c:pt idx="8">
                  <c:v>Oil (litre)</c:v>
                </c:pt>
                <c:pt idx="9">
                  <c:v>Mouse</c:v>
                </c:pt>
                <c:pt idx="10">
                  <c:v>T-shirt</c:v>
                </c:pt>
                <c:pt idx="11">
                  <c:v>Sugar (kg)</c:v>
                </c:pt>
                <c:pt idx="12">
                  <c:v>Backpack</c:v>
                </c:pt>
                <c:pt idx="13">
                  <c:v>Charger</c:v>
                </c:pt>
                <c:pt idx="14">
                  <c:v>Tea (gm)</c:v>
                </c:pt>
              </c:strCache>
            </c:strRef>
          </c:cat>
          <c:val>
            <c:numRef>
              <c:f>Sheet1!$H$2:$H$16</c:f>
              <c:numCache>
                <c:formatCode>"₹"\ #,##0.00</c:formatCode>
                <c:ptCount val="15"/>
                <c:pt idx="0">
                  <c:v>110000</c:v>
                </c:pt>
                <c:pt idx="1">
                  <c:v>22500</c:v>
                </c:pt>
                <c:pt idx="2">
                  <c:v>15000</c:v>
                </c:pt>
                <c:pt idx="3">
                  <c:v>6600</c:v>
                </c:pt>
                <c:pt idx="4">
                  <c:v>128000</c:v>
                </c:pt>
                <c:pt idx="5">
                  <c:v>18000</c:v>
                </c:pt>
                <c:pt idx="6">
                  <c:v>1600</c:v>
                </c:pt>
                <c:pt idx="7">
                  <c:v>7000</c:v>
                </c:pt>
                <c:pt idx="8">
                  <c:v>2700</c:v>
                </c:pt>
                <c:pt idx="9">
                  <c:v>7192</c:v>
                </c:pt>
                <c:pt idx="10">
                  <c:v>4990</c:v>
                </c:pt>
                <c:pt idx="11">
                  <c:v>1375</c:v>
                </c:pt>
                <c:pt idx="12">
                  <c:v>7200</c:v>
                </c:pt>
                <c:pt idx="13">
                  <c:v>7800</c:v>
                </c:pt>
                <c:pt idx="14">
                  <c:v>1750</c:v>
                </c:pt>
              </c:numCache>
            </c:numRef>
          </c:val>
          <c:extLst>
            <c:ext xmlns:c16="http://schemas.microsoft.com/office/drawing/2014/chart" uri="{C3380CC4-5D6E-409C-BE32-E72D297353CC}">
              <c16:uniqueId val="{00000000-5A18-46AC-9DF8-A961BF65CBA2}"/>
            </c:ext>
          </c:extLst>
        </c:ser>
        <c:dLbls>
          <c:showLegendKey val="0"/>
          <c:showVal val="0"/>
          <c:showCatName val="0"/>
          <c:showSerName val="0"/>
          <c:showPercent val="0"/>
          <c:showBubbleSize val="0"/>
        </c:dLbls>
        <c:gapWidth val="219"/>
        <c:overlap val="-27"/>
        <c:axId val="706597584"/>
        <c:axId val="706598544"/>
      </c:barChart>
      <c:catAx>
        <c:axId val="706597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598544"/>
        <c:crosses val="autoZero"/>
        <c:auto val="1"/>
        <c:lblAlgn val="ctr"/>
        <c:lblOffset val="100"/>
        <c:noMultiLvlLbl val="0"/>
      </c:catAx>
      <c:valAx>
        <c:axId val="706598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Amount(INR)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59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Names vs Total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E9-4772-ACF2-348331D329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E9-4772-ACF2-348331D329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E9-4772-ACF2-348331D329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E9-4772-ACF2-348331D329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8E9-4772-ACF2-348331D3290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8E9-4772-ACF2-348331D3290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8E9-4772-ACF2-348331D3290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8E9-4772-ACF2-348331D3290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8E9-4772-ACF2-348331D3290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8E9-4772-ACF2-348331D3290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8E9-4772-ACF2-348331D3290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8E9-4772-ACF2-348331D3290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8E9-4772-ACF2-348331D3290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8E9-4772-ACF2-348331D3290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8E9-4772-ACF2-348331D32908}"/>
              </c:ext>
            </c:extLst>
          </c:dPt>
          <c:cat>
            <c:strRef>
              <c:f>Sheet1!$C$2:$C$16</c:f>
              <c:strCache>
                <c:ptCount val="15"/>
                <c:pt idx="0">
                  <c:v>Electronics</c:v>
                </c:pt>
                <c:pt idx="1">
                  <c:v>Fashion</c:v>
                </c:pt>
                <c:pt idx="2">
                  <c:v>Electronics</c:v>
                </c:pt>
                <c:pt idx="3">
                  <c:v>Fashion</c:v>
                </c:pt>
                <c:pt idx="4">
                  <c:v>Electronics</c:v>
                </c:pt>
                <c:pt idx="5">
                  <c:v>Electronics</c:v>
                </c:pt>
                <c:pt idx="6">
                  <c:v>Grocery</c:v>
                </c:pt>
                <c:pt idx="7">
                  <c:v>Fashion</c:v>
                </c:pt>
                <c:pt idx="8">
                  <c:v>Grocery</c:v>
                </c:pt>
                <c:pt idx="9">
                  <c:v>Electronics</c:v>
                </c:pt>
                <c:pt idx="10">
                  <c:v>Fashion</c:v>
                </c:pt>
                <c:pt idx="11">
                  <c:v>Grocery</c:v>
                </c:pt>
                <c:pt idx="12">
                  <c:v>Fashion</c:v>
                </c:pt>
                <c:pt idx="13">
                  <c:v>Electronics</c:v>
                </c:pt>
                <c:pt idx="14">
                  <c:v>Grocery</c:v>
                </c:pt>
              </c:strCache>
            </c:strRef>
          </c:cat>
          <c:val>
            <c:numRef>
              <c:f>Sheet1!$H$2:$H$16</c:f>
              <c:numCache>
                <c:formatCode>"₹"\ #,##0.00</c:formatCode>
                <c:ptCount val="15"/>
                <c:pt idx="0">
                  <c:v>110000</c:v>
                </c:pt>
                <c:pt idx="1">
                  <c:v>22500</c:v>
                </c:pt>
                <c:pt idx="2">
                  <c:v>15000</c:v>
                </c:pt>
                <c:pt idx="3">
                  <c:v>6600</c:v>
                </c:pt>
                <c:pt idx="4">
                  <c:v>128000</c:v>
                </c:pt>
                <c:pt idx="5">
                  <c:v>18000</c:v>
                </c:pt>
                <c:pt idx="6">
                  <c:v>1600</c:v>
                </c:pt>
                <c:pt idx="7">
                  <c:v>7000</c:v>
                </c:pt>
                <c:pt idx="8">
                  <c:v>2700</c:v>
                </c:pt>
                <c:pt idx="9">
                  <c:v>7192</c:v>
                </c:pt>
                <c:pt idx="10">
                  <c:v>4990</c:v>
                </c:pt>
                <c:pt idx="11">
                  <c:v>1375</c:v>
                </c:pt>
                <c:pt idx="12">
                  <c:v>7200</c:v>
                </c:pt>
                <c:pt idx="13">
                  <c:v>7800</c:v>
                </c:pt>
                <c:pt idx="14">
                  <c:v>1750</c:v>
                </c:pt>
              </c:numCache>
            </c:numRef>
          </c:val>
          <c:extLst>
            <c:ext xmlns:c16="http://schemas.microsoft.com/office/drawing/2014/chart" uri="{C3380CC4-5D6E-409C-BE32-E72D297353CC}">
              <c16:uniqueId val="{00000000-BC26-4057-8423-F5798FEBAEE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 Date vs Total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none"/>
          </c:marker>
          <c:cat>
            <c:numRef>
              <c:f>Sheet1!$G$2:$G$16</c:f>
              <c:numCache>
                <c:formatCode>m/d/yyyy</c:formatCode>
                <c:ptCount val="15"/>
                <c:pt idx="0">
                  <c:v>45691</c:v>
                </c:pt>
                <c:pt idx="1">
                  <c:v>45693</c:v>
                </c:pt>
                <c:pt idx="2">
                  <c:v>45694</c:v>
                </c:pt>
                <c:pt idx="3">
                  <c:v>45695</c:v>
                </c:pt>
                <c:pt idx="4">
                  <c:v>45697</c:v>
                </c:pt>
                <c:pt idx="5">
                  <c:v>45699</c:v>
                </c:pt>
                <c:pt idx="6">
                  <c:v>45700</c:v>
                </c:pt>
                <c:pt idx="7">
                  <c:v>45702</c:v>
                </c:pt>
                <c:pt idx="8">
                  <c:v>45703</c:v>
                </c:pt>
                <c:pt idx="9">
                  <c:v>45706</c:v>
                </c:pt>
                <c:pt idx="10">
                  <c:v>45708</c:v>
                </c:pt>
                <c:pt idx="11">
                  <c:v>45710</c:v>
                </c:pt>
                <c:pt idx="12">
                  <c:v>45712</c:v>
                </c:pt>
                <c:pt idx="13">
                  <c:v>45714</c:v>
                </c:pt>
                <c:pt idx="14">
                  <c:v>45716</c:v>
                </c:pt>
              </c:numCache>
            </c:numRef>
          </c:cat>
          <c:val>
            <c:numRef>
              <c:f>Sheet1!$H$2:$H$16</c:f>
              <c:numCache>
                <c:formatCode>"₹"\ #,##0.00</c:formatCode>
                <c:ptCount val="15"/>
                <c:pt idx="0">
                  <c:v>110000</c:v>
                </c:pt>
                <c:pt idx="1">
                  <c:v>22500</c:v>
                </c:pt>
                <c:pt idx="2">
                  <c:v>15000</c:v>
                </c:pt>
                <c:pt idx="3">
                  <c:v>6600</c:v>
                </c:pt>
                <c:pt idx="4">
                  <c:v>128000</c:v>
                </c:pt>
                <c:pt idx="5">
                  <c:v>18000</c:v>
                </c:pt>
                <c:pt idx="6">
                  <c:v>1600</c:v>
                </c:pt>
                <c:pt idx="7">
                  <c:v>7000</c:v>
                </c:pt>
                <c:pt idx="8">
                  <c:v>2700</c:v>
                </c:pt>
                <c:pt idx="9">
                  <c:v>7192</c:v>
                </c:pt>
                <c:pt idx="10">
                  <c:v>4990</c:v>
                </c:pt>
                <c:pt idx="11">
                  <c:v>1375</c:v>
                </c:pt>
                <c:pt idx="12">
                  <c:v>7200</c:v>
                </c:pt>
                <c:pt idx="13">
                  <c:v>7800</c:v>
                </c:pt>
                <c:pt idx="14">
                  <c:v>1750</c:v>
                </c:pt>
              </c:numCache>
            </c:numRef>
          </c:val>
          <c:smooth val="0"/>
          <c:extLst>
            <c:ext xmlns:c16="http://schemas.microsoft.com/office/drawing/2014/chart" uri="{C3380CC4-5D6E-409C-BE32-E72D297353CC}">
              <c16:uniqueId val="{00000000-4585-48B2-8AC3-94E0A4C8CD9F}"/>
            </c:ext>
          </c:extLst>
        </c:ser>
        <c:dLbls>
          <c:showLegendKey val="0"/>
          <c:showVal val="0"/>
          <c:showCatName val="0"/>
          <c:showSerName val="0"/>
          <c:showPercent val="0"/>
          <c:showBubbleSize val="0"/>
        </c:dLbls>
        <c:smooth val="0"/>
        <c:axId val="706598064"/>
        <c:axId val="706602384"/>
      </c:lineChart>
      <c:dateAx>
        <c:axId val="706598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 Date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602384"/>
        <c:crosses val="autoZero"/>
        <c:auto val="1"/>
        <c:lblOffset val="100"/>
        <c:baseTimeUnit val="days"/>
      </c:dateAx>
      <c:valAx>
        <c:axId val="706602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Total Amount (INR)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5980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142874</xdr:colOff>
      <xdr:row>2</xdr:row>
      <xdr:rowOff>19050</xdr:rowOff>
    </xdr:from>
    <xdr:to>
      <xdr:col>21</xdr:col>
      <xdr:colOff>419100</xdr:colOff>
      <xdr:row>19</xdr:row>
      <xdr:rowOff>85726</xdr:rowOff>
    </xdr:to>
    <xdr:graphicFrame macro="">
      <xdr:nvGraphicFramePr>
        <xdr:cNvPr id="2" name="Chart 1">
          <a:extLst>
            <a:ext uri="{FF2B5EF4-FFF2-40B4-BE49-F238E27FC236}">
              <a16:creationId xmlns:a16="http://schemas.microsoft.com/office/drawing/2014/main" id="{34743F78-9EC0-6022-C385-230B4EC8E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466725</xdr:colOff>
      <xdr:row>20</xdr:row>
      <xdr:rowOff>47625</xdr:rowOff>
    </xdr:from>
    <xdr:to>
      <xdr:col>5</xdr:col>
      <xdr:colOff>466725</xdr:colOff>
      <xdr:row>34</xdr:row>
      <xdr:rowOff>47625</xdr:rowOff>
    </xdr:to>
    <mc:AlternateContent xmlns:mc="http://schemas.openxmlformats.org/markup-compatibility/2006">
      <mc:Choice xmlns:a14="http://schemas.microsoft.com/office/drawing/2010/main" Requires="a14">
        <xdr:graphicFrame macro="">
          <xdr:nvGraphicFramePr>
            <xdr:cNvPr id="3" name="Department   2">
              <a:extLst>
                <a:ext uri="{FF2B5EF4-FFF2-40B4-BE49-F238E27FC236}">
                  <a16:creationId xmlns:a16="http://schemas.microsoft.com/office/drawing/2014/main" id="{11C64F11-440B-B897-16F5-E1595144169C}"/>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2466975" y="38576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219075</xdr:colOff>
      <xdr:row>0</xdr:row>
      <xdr:rowOff>47625</xdr:rowOff>
    </xdr:from>
    <xdr:to>
      <xdr:col>9</xdr:col>
      <xdr:colOff>523875</xdr:colOff>
      <xdr:row>14</xdr:row>
      <xdr:rowOff>123825</xdr:rowOff>
    </xdr:to>
    <xdr:graphicFrame macro="">
      <xdr:nvGraphicFramePr>
        <xdr:cNvPr id="2" name="Chart 1">
          <a:extLst>
            <a:ext uri="{FF2B5EF4-FFF2-40B4-BE49-F238E27FC236}">
              <a16:creationId xmlns:a16="http://schemas.microsoft.com/office/drawing/2014/main" id="{2A5A09F9-9E23-BCFB-F21A-80D899130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15</xdr:row>
      <xdr:rowOff>180975</xdr:rowOff>
    </xdr:from>
    <xdr:to>
      <xdr:col>6</xdr:col>
      <xdr:colOff>0</xdr:colOff>
      <xdr:row>29</xdr:row>
      <xdr:rowOff>180975</xdr:rowOff>
    </xdr:to>
    <mc:AlternateContent xmlns:mc="http://schemas.openxmlformats.org/markup-compatibility/2006">
      <mc:Choice xmlns:a14="http://schemas.microsoft.com/office/drawing/2010/main" Requires="a14">
        <xdr:graphicFrame macro="">
          <xdr:nvGraphicFramePr>
            <xdr:cNvPr id="3" name="Name  ">
              <a:extLst>
                <a:ext uri="{FF2B5EF4-FFF2-40B4-BE49-F238E27FC236}">
                  <a16:creationId xmlns:a16="http://schemas.microsoft.com/office/drawing/2014/main" id="{8BAB5012-60DA-78B9-78F1-44361D84E9A0}"/>
                </a:ext>
              </a:extLst>
            </xdr:cNvPr>
            <xdr:cNvGraphicFramePr/>
          </xdr:nvGraphicFramePr>
          <xdr:xfrm>
            <a:off x="0" y="0"/>
            <a:ext cx="0" cy="0"/>
          </xdr:xfrm>
          <a:graphic>
            <a:graphicData uri="http://schemas.microsoft.com/office/drawing/2010/slicer">
              <sle:slicer xmlns:sle="http://schemas.microsoft.com/office/drawing/2010/slicer" name="Name  "/>
            </a:graphicData>
          </a:graphic>
        </xdr:graphicFrame>
      </mc:Choice>
      <mc:Fallback>
        <xdr:sp macro="" textlink="">
          <xdr:nvSpPr>
            <xdr:cNvPr id="0" name=""/>
            <xdr:cNvSpPr>
              <a:spLocks noTextEdit="1"/>
            </xdr:cNvSpPr>
          </xdr:nvSpPr>
          <xdr:spPr>
            <a:xfrm>
              <a:off x="2819400" y="30384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16</xdr:row>
      <xdr:rowOff>28575</xdr:rowOff>
    </xdr:from>
    <xdr:to>
      <xdr:col>1</xdr:col>
      <xdr:colOff>1209675</xdr:colOff>
      <xdr:row>30</xdr:row>
      <xdr:rowOff>28575</xdr:rowOff>
    </xdr:to>
    <mc:AlternateContent xmlns:mc="http://schemas.openxmlformats.org/markup-compatibility/2006">
      <mc:Choice xmlns:a14="http://schemas.microsoft.com/office/drawing/2010/main" Requires="a14">
        <xdr:graphicFrame macro="">
          <xdr:nvGraphicFramePr>
            <xdr:cNvPr id="4" name="Department   1">
              <a:extLst>
                <a:ext uri="{FF2B5EF4-FFF2-40B4-BE49-F238E27FC236}">
                  <a16:creationId xmlns:a16="http://schemas.microsoft.com/office/drawing/2014/main" id="{165FF324-EFEC-5A3C-B19D-257E39C7B8F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76225" y="3076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590550</xdr:colOff>
      <xdr:row>2</xdr:row>
      <xdr:rowOff>133349</xdr:rowOff>
    </xdr:from>
    <xdr:to>
      <xdr:col>9</xdr:col>
      <xdr:colOff>409575</xdr:colOff>
      <xdr:row>15</xdr:row>
      <xdr:rowOff>66674</xdr:rowOff>
    </xdr:to>
    <xdr:graphicFrame macro="">
      <xdr:nvGraphicFramePr>
        <xdr:cNvPr id="2" name="Chart 1">
          <a:extLst>
            <a:ext uri="{FF2B5EF4-FFF2-40B4-BE49-F238E27FC236}">
              <a16:creationId xmlns:a16="http://schemas.microsoft.com/office/drawing/2014/main" id="{0F5B98F1-9CD8-4728-84F2-35C922196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381000</xdr:colOff>
      <xdr:row>6</xdr:row>
      <xdr:rowOff>28575</xdr:rowOff>
    </xdr:from>
    <xdr:to>
      <xdr:col>2</xdr:col>
      <xdr:colOff>0</xdr:colOff>
      <xdr:row>20</xdr:row>
      <xdr:rowOff>28575</xdr:rowOff>
    </xdr:to>
    <mc:AlternateContent xmlns:mc="http://schemas.openxmlformats.org/markup-compatibility/2006" xmlns:a14="http://schemas.microsoft.com/office/drawing/2010/main">
      <mc:Choice Requires="a14">
        <xdr:graphicFrame macro="">
          <xdr:nvGraphicFramePr>
            <xdr:cNvPr id="3" name="Department  ">
              <a:extLst>
                <a:ext uri="{FF2B5EF4-FFF2-40B4-BE49-F238E27FC236}">
                  <a16:creationId xmlns:a16="http://schemas.microsoft.com/office/drawing/2014/main" id="{ECC3A634-10EE-A347-9275-BFF936995677}"/>
                </a:ext>
              </a:extLst>
            </xdr:cNvPr>
            <xdr:cNvGraphicFramePr/>
          </xdr:nvGraphicFramePr>
          <xdr:xfrm>
            <a:off x="0" y="0"/>
            <a:ext cx="0" cy="0"/>
          </xdr:xfrm>
          <a:graphic>
            <a:graphicData uri="http://schemas.microsoft.com/office/drawing/2010/slicer">
              <sle:slicer xmlns:sle="http://schemas.microsoft.com/office/drawing/2010/slicer" name="Department  "/>
            </a:graphicData>
          </a:graphic>
        </xdr:graphicFrame>
      </mc:Choice>
      <mc:Fallback xmlns="">
        <xdr:sp macro="" textlink="">
          <xdr:nvSpPr>
            <xdr:cNvPr id="0" name=""/>
            <xdr:cNvSpPr>
              <a:spLocks noTextEdit="1"/>
            </xdr:cNvSpPr>
          </xdr:nvSpPr>
          <xdr:spPr>
            <a:xfrm>
              <a:off x="381000" y="1171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25778</xdr:colOff>
      <xdr:row>12</xdr:row>
      <xdr:rowOff>273426</xdr:rowOff>
    </xdr:from>
    <xdr:to>
      <xdr:col>17</xdr:col>
      <xdr:colOff>307232</xdr:colOff>
      <xdr:row>23</xdr:row>
      <xdr:rowOff>84310</xdr:rowOff>
    </xdr:to>
    <xdr:graphicFrame macro="">
      <xdr:nvGraphicFramePr>
        <xdr:cNvPr id="3" name="Chart 2">
          <a:extLst>
            <a:ext uri="{FF2B5EF4-FFF2-40B4-BE49-F238E27FC236}">
              <a16:creationId xmlns:a16="http://schemas.microsoft.com/office/drawing/2014/main" id="{AA5644FE-7812-DC76-7F25-85F6E0BAA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25149</xdr:colOff>
      <xdr:row>1</xdr:row>
      <xdr:rowOff>1194</xdr:rowOff>
    </xdr:from>
    <xdr:to>
      <xdr:col>17</xdr:col>
      <xdr:colOff>307232</xdr:colOff>
      <xdr:row>11</xdr:row>
      <xdr:rowOff>119518</xdr:rowOff>
    </xdr:to>
    <xdr:graphicFrame macro="">
      <xdr:nvGraphicFramePr>
        <xdr:cNvPr id="4" name="Chart 3">
          <a:extLst>
            <a:ext uri="{FF2B5EF4-FFF2-40B4-BE49-F238E27FC236}">
              <a16:creationId xmlns:a16="http://schemas.microsoft.com/office/drawing/2014/main" id="{77B003D9-B6BA-0E7E-1B6F-5DB9B0E06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949985</xdr:colOff>
      <xdr:row>17</xdr:row>
      <xdr:rowOff>24457</xdr:rowOff>
    </xdr:from>
    <xdr:to>
      <xdr:col>9</xdr:col>
      <xdr:colOff>3772</xdr:colOff>
      <xdr:row>28</xdr:row>
      <xdr:rowOff>23116</xdr:rowOff>
    </xdr:to>
    <xdr:graphicFrame macro="">
      <xdr:nvGraphicFramePr>
        <xdr:cNvPr id="5" name="Chart 4">
          <a:extLst>
            <a:ext uri="{FF2B5EF4-FFF2-40B4-BE49-F238E27FC236}">
              <a16:creationId xmlns:a16="http://schemas.microsoft.com/office/drawing/2014/main" id="{35BCC4A1-D09C-F751-E640-A9E180508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87.837120023149" createdVersion="8" refreshedVersion="8" minRefreshableVersion="3" recordCount="15" xr:uid="{9ED8A9D5-A790-4E47-801D-9F6A28AA92A6}">
  <cacheSource type="worksheet">
    <worksheetSource ref="A1:H16" sheet="Sheet1"/>
  </cacheSource>
  <cacheFields count="8">
    <cacheField name="emp_id " numFmtId="0">
      <sharedItems/>
    </cacheField>
    <cacheField name="Name  " numFmtId="0">
      <sharedItems count="10">
        <s v="Aarav"/>
        <s v="Bhavya"/>
        <s v="Chirag"/>
        <s v="Diya"/>
        <s v="Eshan"/>
        <s v="Farah"/>
        <s v="Gaurav"/>
        <s v="Hina"/>
        <s v="Ishan"/>
        <s v="Jiya"/>
      </sharedItems>
    </cacheField>
    <cacheField name="Department  " numFmtId="0">
      <sharedItems count="3">
        <s v="Electronics"/>
        <s v="Fashion"/>
        <s v="Grocery"/>
      </sharedItems>
    </cacheField>
    <cacheField name="Product" numFmtId="0">
      <sharedItems count="15">
        <s v="Laptop"/>
        <s v="Saree"/>
        <s v="Headphones"/>
        <s v="Shoes"/>
        <s v="Smartphone"/>
        <s v="Tablet"/>
        <s v="Rice (kg)"/>
        <s v="Watch"/>
        <s v="Oil (litre)"/>
        <s v="Mouse"/>
        <s v="T-shirt"/>
        <s v="Sugar (kg)"/>
        <s v="Backpack"/>
        <s v="Charger"/>
        <s v="Tea (gm)"/>
      </sharedItems>
    </cacheField>
    <cacheField name="Quantity" numFmtId="0">
      <sharedItems containsSemiMixedTypes="0" containsString="0" containsNumber="1" containsInteger="1" minValue="1" maxValue="25"/>
    </cacheField>
    <cacheField name="Unit_price " numFmtId="164">
      <sharedItems containsSemiMixedTypes="0" containsString="0" containsNumber="1" containsInteger="1" minValue="55" maxValue="55000"/>
    </cacheField>
    <cacheField name="Sale_date" numFmtId="14">
      <sharedItems containsSemiMixedTypes="0" containsNonDate="0" containsDate="1" containsString="0" minDate="2025-02-03T00:00:00" maxDate="2025-03-01T00:00:00"/>
    </cacheField>
    <cacheField name="Total amount" numFmtId="164">
      <sharedItems containsSemiMixedTypes="0" containsString="0" containsNumber="1" containsInteger="1" minValue="1375" maxValue="128000"/>
    </cacheField>
  </cacheFields>
  <extLst>
    <ext xmlns:x14="http://schemas.microsoft.com/office/spreadsheetml/2009/9/main" uri="{725AE2AE-9491-48be-B2B4-4EB974FC3084}">
      <x14:pivotCacheDefinition pivotCacheId="942294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E01"/>
    <x v="0"/>
    <x v="0"/>
    <x v="0"/>
    <n v="2"/>
    <n v="55000"/>
    <d v="2025-02-03T00:00:00"/>
    <n v="110000"/>
  </r>
  <r>
    <s v="E02"/>
    <x v="1"/>
    <x v="1"/>
    <x v="1"/>
    <n v="5"/>
    <n v="4500"/>
    <d v="2025-02-05T00:00:00"/>
    <n v="22500"/>
  </r>
  <r>
    <s v="E03"/>
    <x v="2"/>
    <x v="0"/>
    <x v="2"/>
    <n v="10"/>
    <n v="1500"/>
    <d v="2025-02-06T00:00:00"/>
    <n v="15000"/>
  </r>
  <r>
    <s v="E04"/>
    <x v="3"/>
    <x v="1"/>
    <x v="3"/>
    <n v="3"/>
    <n v="2200"/>
    <d v="2025-02-07T00:00:00"/>
    <n v="6600"/>
  </r>
  <r>
    <s v="E05"/>
    <x v="4"/>
    <x v="0"/>
    <x v="4"/>
    <n v="4"/>
    <n v="32000"/>
    <d v="2025-02-09T00:00:00"/>
    <n v="128000"/>
  </r>
  <r>
    <s v="E01"/>
    <x v="0"/>
    <x v="0"/>
    <x v="5"/>
    <n v="1"/>
    <n v="18000"/>
    <d v="2025-02-11T00:00:00"/>
    <n v="18000"/>
  </r>
  <r>
    <s v="E06"/>
    <x v="5"/>
    <x v="2"/>
    <x v="6"/>
    <n v="20"/>
    <n v="80"/>
    <d v="2025-02-12T00:00:00"/>
    <n v="1600"/>
  </r>
  <r>
    <s v="E07"/>
    <x v="6"/>
    <x v="1"/>
    <x v="7"/>
    <n v="2"/>
    <n v="3500"/>
    <d v="2025-02-14T00:00:00"/>
    <n v="7000"/>
  </r>
  <r>
    <s v="E08"/>
    <x v="7"/>
    <x v="2"/>
    <x v="8"/>
    <n v="15"/>
    <n v="180"/>
    <d v="2025-02-15T00:00:00"/>
    <n v="2700"/>
  </r>
  <r>
    <s v="E03"/>
    <x v="2"/>
    <x v="0"/>
    <x v="9"/>
    <n v="8"/>
    <n v="899"/>
    <d v="2025-02-18T00:00:00"/>
    <n v="7192"/>
  </r>
  <r>
    <s v="E02"/>
    <x v="1"/>
    <x v="1"/>
    <x v="10"/>
    <n v="10"/>
    <n v="499"/>
    <d v="2025-02-20T00:00:00"/>
    <n v="4990"/>
  </r>
  <r>
    <s v="E09"/>
    <x v="8"/>
    <x v="2"/>
    <x v="11"/>
    <n v="25"/>
    <n v="55"/>
    <d v="2025-02-22T00:00:00"/>
    <n v="1375"/>
  </r>
  <r>
    <s v="E04"/>
    <x v="3"/>
    <x v="1"/>
    <x v="12"/>
    <n v="4"/>
    <n v="1800"/>
    <d v="2025-02-24T00:00:00"/>
    <n v="7200"/>
  </r>
  <r>
    <s v="E05"/>
    <x v="4"/>
    <x v="0"/>
    <x v="13"/>
    <n v="12"/>
    <n v="650"/>
    <d v="2025-02-26T00:00:00"/>
    <n v="7800"/>
  </r>
  <r>
    <s v="E10"/>
    <x v="9"/>
    <x v="2"/>
    <x v="14"/>
    <n v="5"/>
    <n v="350"/>
    <d v="2025-02-28T00:00:00"/>
    <n v="17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B6832-BB35-4072-9043-B45B09F211D4}"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32" firstHeaderRow="1" firstDataRow="1" firstDataCol="1"/>
  <pivotFields count="8">
    <pivotField showAll="0"/>
    <pivotField showAll="0"/>
    <pivotField axis="axisRow" showAll="0">
      <items count="4">
        <item x="0"/>
        <item x="1"/>
        <item x="2"/>
        <item t="default"/>
      </items>
    </pivotField>
    <pivotField axis="axisRow" showAll="0">
      <items count="16">
        <item x="12"/>
        <item x="13"/>
        <item x="2"/>
        <item x="0"/>
        <item x="9"/>
        <item x="8"/>
        <item x="6"/>
        <item x="1"/>
        <item x="3"/>
        <item x="4"/>
        <item x="11"/>
        <item x="5"/>
        <item x="14"/>
        <item x="10"/>
        <item x="7"/>
        <item t="default"/>
      </items>
    </pivotField>
    <pivotField dataField="1" showAll="0"/>
    <pivotField numFmtId="164" showAll="0"/>
    <pivotField numFmtId="14" showAll="0"/>
    <pivotField numFmtId="164" showAll="0"/>
  </pivotFields>
  <rowFields count="2">
    <field x="3"/>
    <field x="2"/>
  </rowFields>
  <rowItems count="31">
    <i>
      <x/>
    </i>
    <i r="1">
      <x v="1"/>
    </i>
    <i>
      <x v="1"/>
    </i>
    <i r="1">
      <x/>
    </i>
    <i>
      <x v="2"/>
    </i>
    <i r="1">
      <x/>
    </i>
    <i>
      <x v="3"/>
    </i>
    <i r="1">
      <x/>
    </i>
    <i>
      <x v="4"/>
    </i>
    <i r="1">
      <x/>
    </i>
    <i>
      <x v="5"/>
    </i>
    <i r="1">
      <x v="2"/>
    </i>
    <i>
      <x v="6"/>
    </i>
    <i r="1">
      <x v="2"/>
    </i>
    <i>
      <x v="7"/>
    </i>
    <i r="1">
      <x v="1"/>
    </i>
    <i>
      <x v="8"/>
    </i>
    <i r="1">
      <x v="1"/>
    </i>
    <i>
      <x v="9"/>
    </i>
    <i r="1">
      <x/>
    </i>
    <i>
      <x v="10"/>
    </i>
    <i r="1">
      <x v="2"/>
    </i>
    <i>
      <x v="11"/>
    </i>
    <i r="1">
      <x/>
    </i>
    <i>
      <x v="12"/>
    </i>
    <i r="1">
      <x v="2"/>
    </i>
    <i>
      <x v="13"/>
    </i>
    <i r="1">
      <x v="1"/>
    </i>
    <i>
      <x v="14"/>
    </i>
    <i r="1">
      <x v="1"/>
    </i>
    <i t="grand">
      <x/>
    </i>
  </rowItems>
  <colItems count="1">
    <i/>
  </colItems>
  <dataFields count="1">
    <dataField name="Sum of Quantit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BB0FC8-4220-419F-9A2B-66A32C35758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15" firstHeaderRow="1" firstDataRow="1" firstDataCol="1"/>
  <pivotFields count="8">
    <pivotField showAll="0"/>
    <pivotField axis="axisRow" showAll="0">
      <items count="11">
        <item x="0"/>
        <item x="1"/>
        <item x="2"/>
        <item x="3"/>
        <item x="4"/>
        <item x="5"/>
        <item x="6"/>
        <item x="7"/>
        <item x="8"/>
        <item x="9"/>
        <item t="default"/>
      </items>
    </pivotField>
    <pivotField axis="axisRow" showAll="0">
      <items count="4">
        <item x="0"/>
        <item x="1"/>
        <item x="2"/>
        <item t="default"/>
      </items>
    </pivotField>
    <pivotField showAll="0"/>
    <pivotField showAll="0"/>
    <pivotField numFmtId="164" showAll="0"/>
    <pivotField numFmtId="14" showAll="0"/>
    <pivotField dataField="1" numFmtId="164" showAll="0"/>
  </pivotFields>
  <rowFields count="2">
    <field x="2"/>
    <field x="1"/>
  </rowFields>
  <rowItems count="14">
    <i>
      <x/>
    </i>
    <i r="1">
      <x/>
    </i>
    <i r="1">
      <x v="2"/>
    </i>
    <i r="1">
      <x v="4"/>
    </i>
    <i>
      <x v="1"/>
    </i>
    <i r="1">
      <x v="1"/>
    </i>
    <i r="1">
      <x v="3"/>
    </i>
    <i r="1">
      <x v="6"/>
    </i>
    <i>
      <x v="2"/>
    </i>
    <i r="1">
      <x v="5"/>
    </i>
    <i r="1">
      <x v="7"/>
    </i>
    <i r="1">
      <x v="8"/>
    </i>
    <i r="1">
      <x v="9"/>
    </i>
    <i t="grand">
      <x/>
    </i>
  </rowItems>
  <colItems count="1">
    <i/>
  </colItems>
  <dataFields count="1">
    <dataField name="Sum of Total amount"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062912-1BB6-47E7-8607-77D2C53C6B6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5" firstHeaderRow="1" firstDataRow="1" firstDataCol="1"/>
  <pivotFields count="8">
    <pivotField showAll="0"/>
    <pivotField showAll="0"/>
    <pivotField axis="axisRow" showAll="0">
      <items count="4">
        <item x="0"/>
        <item x="1"/>
        <item x="2"/>
        <item t="default"/>
      </items>
    </pivotField>
    <pivotField showAll="0"/>
    <pivotField showAll="0"/>
    <pivotField numFmtId="164" showAll="0"/>
    <pivotField numFmtId="14" showAll="0"/>
    <pivotField dataField="1" numFmtId="164" showAll="0"/>
  </pivotFields>
  <rowFields count="1">
    <field x="2"/>
  </rowFields>
  <rowItems count="4">
    <i>
      <x/>
    </i>
    <i>
      <x v="1"/>
    </i>
    <i>
      <x v="2"/>
    </i>
    <i t="grand">
      <x/>
    </i>
  </rowItems>
  <colItems count="1">
    <i/>
  </colItems>
  <dataFields count="1">
    <dataField name="Sum of Total amount"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27128D6-DC3E-4D1A-B9D7-FFD07BA71282}" sourceName="Department  ">
  <pivotTables>
    <pivotTable tabId="7" name="PivotTable18"/>
  </pivotTables>
  <data>
    <tabular pivotCacheId="94229402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C39FE7FB-A980-434D-BD13-4C4D4B047995}" sourceName="Name  ">
  <pivotTables>
    <pivotTable tabId="8" name="PivotTable19"/>
  </pivotTables>
  <data>
    <tabular pivotCacheId="942294026">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F1612E4-2812-4E0C-A196-F2B9BC2EF8B9}" sourceName="Department  ">
  <pivotTables>
    <pivotTable tabId="8" name="PivotTable19"/>
  </pivotTables>
  <data>
    <tabular pivotCacheId="94229402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4B9F4983-CB14-4545-85F7-A4D1A8017878}" sourceName="Department  ">
  <pivotTables>
    <pivotTable tabId="9" name="PivotTable20"/>
  </pivotTables>
  <data>
    <tabular pivotCacheId="94229402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ACF8695E-9232-49C8-9D1B-87B75AB7F04D}" cache="Slicer_Department2" caption="Department  "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 xr10:uid="{00E2B91C-052B-4152-9893-9C6103E547FD}" cache="Slicer_Name" caption="Name  " rowHeight="257175"/>
  <slicer name="Department   1" xr10:uid="{09CF8656-D896-4A3A-8371-42C94C042009}" cache="Slicer_Department1" caption="Department  "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 xr10:uid="{CBBEE0BD-9378-4C25-A0C5-20BFD45BC6E6}" cache="Slicer_Department" caption="Department  "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F89A-377D-4F2E-B8E4-E8CDE467DDAD}">
  <dimension ref="A1:B32"/>
  <sheetViews>
    <sheetView workbookViewId="0">
      <selection activeCell="G29" sqref="G29"/>
    </sheetView>
  </sheetViews>
  <sheetFormatPr defaultRowHeight="15" x14ac:dyDescent="0.25"/>
  <cols>
    <col min="1" max="1" width="14.42578125" bestFit="1" customWidth="1"/>
    <col min="2" max="2" width="15.5703125" bestFit="1" customWidth="1"/>
  </cols>
  <sheetData>
    <row r="1" spans="1:2" x14ac:dyDescent="0.25">
      <c r="A1" s="11" t="s">
        <v>54</v>
      </c>
      <c r="B1" t="s">
        <v>53</v>
      </c>
    </row>
    <row r="2" spans="1:2" x14ac:dyDescent="0.25">
      <c r="A2" s="12" t="s">
        <v>41</v>
      </c>
      <c r="B2" s="13">
        <v>4</v>
      </c>
    </row>
    <row r="3" spans="1:2" x14ac:dyDescent="0.25">
      <c r="A3" s="14" t="s">
        <v>27</v>
      </c>
      <c r="B3" s="13">
        <v>4</v>
      </c>
    </row>
    <row r="4" spans="1:2" x14ac:dyDescent="0.25">
      <c r="A4" s="12" t="s">
        <v>42</v>
      </c>
      <c r="B4" s="13">
        <v>12</v>
      </c>
    </row>
    <row r="5" spans="1:2" x14ac:dyDescent="0.25">
      <c r="A5" s="14" t="s">
        <v>51</v>
      </c>
      <c r="B5" s="13">
        <v>12</v>
      </c>
    </row>
    <row r="6" spans="1:2" x14ac:dyDescent="0.25">
      <c r="A6" s="12" t="s">
        <v>31</v>
      </c>
      <c r="B6" s="13">
        <v>10</v>
      </c>
    </row>
    <row r="7" spans="1:2" x14ac:dyDescent="0.25">
      <c r="A7" s="14" t="s">
        <v>51</v>
      </c>
      <c r="B7" s="13">
        <v>10</v>
      </c>
    </row>
    <row r="8" spans="1:2" x14ac:dyDescent="0.25">
      <c r="A8" s="12" t="s">
        <v>29</v>
      </c>
      <c r="B8" s="13">
        <v>2</v>
      </c>
    </row>
    <row r="9" spans="1:2" x14ac:dyDescent="0.25">
      <c r="A9" s="14" t="s">
        <v>51</v>
      </c>
      <c r="B9" s="13">
        <v>2</v>
      </c>
    </row>
    <row r="10" spans="1:2" x14ac:dyDescent="0.25">
      <c r="A10" s="12" t="s">
        <v>38</v>
      </c>
      <c r="B10" s="13">
        <v>8</v>
      </c>
    </row>
    <row r="11" spans="1:2" x14ac:dyDescent="0.25">
      <c r="A11" s="14" t="s">
        <v>51</v>
      </c>
      <c r="B11" s="13">
        <v>8</v>
      </c>
    </row>
    <row r="12" spans="1:2" x14ac:dyDescent="0.25">
      <c r="A12" s="12" t="s">
        <v>37</v>
      </c>
      <c r="B12" s="13">
        <v>15</v>
      </c>
    </row>
    <row r="13" spans="1:2" x14ac:dyDescent="0.25">
      <c r="A13" s="14" t="s">
        <v>28</v>
      </c>
      <c r="B13" s="13">
        <v>15</v>
      </c>
    </row>
    <row r="14" spans="1:2" x14ac:dyDescent="0.25">
      <c r="A14" s="12" t="s">
        <v>35</v>
      </c>
      <c r="B14" s="13">
        <v>20</v>
      </c>
    </row>
    <row r="15" spans="1:2" x14ac:dyDescent="0.25">
      <c r="A15" s="14" t="s">
        <v>28</v>
      </c>
      <c r="B15" s="13">
        <v>20</v>
      </c>
    </row>
    <row r="16" spans="1:2" x14ac:dyDescent="0.25">
      <c r="A16" s="12" t="s">
        <v>30</v>
      </c>
      <c r="B16" s="13">
        <v>5</v>
      </c>
    </row>
    <row r="17" spans="1:2" x14ac:dyDescent="0.25">
      <c r="A17" s="14" t="s">
        <v>27</v>
      </c>
      <c r="B17" s="13">
        <v>5</v>
      </c>
    </row>
    <row r="18" spans="1:2" x14ac:dyDescent="0.25">
      <c r="A18" s="12" t="s">
        <v>32</v>
      </c>
      <c r="B18" s="13">
        <v>3</v>
      </c>
    </row>
    <row r="19" spans="1:2" x14ac:dyDescent="0.25">
      <c r="A19" s="14" t="s">
        <v>27</v>
      </c>
      <c r="B19" s="13">
        <v>3</v>
      </c>
    </row>
    <row r="20" spans="1:2" x14ac:dyDescent="0.25">
      <c r="A20" s="12" t="s">
        <v>33</v>
      </c>
      <c r="B20" s="13">
        <v>4</v>
      </c>
    </row>
    <row r="21" spans="1:2" x14ac:dyDescent="0.25">
      <c r="A21" s="14" t="s">
        <v>51</v>
      </c>
      <c r="B21" s="13">
        <v>4</v>
      </c>
    </row>
    <row r="22" spans="1:2" x14ac:dyDescent="0.25">
      <c r="A22" s="12" t="s">
        <v>40</v>
      </c>
      <c r="B22" s="13">
        <v>25</v>
      </c>
    </row>
    <row r="23" spans="1:2" x14ac:dyDescent="0.25">
      <c r="A23" s="14" t="s">
        <v>28</v>
      </c>
      <c r="B23" s="13">
        <v>25</v>
      </c>
    </row>
    <row r="24" spans="1:2" x14ac:dyDescent="0.25">
      <c r="A24" s="12" t="s">
        <v>34</v>
      </c>
      <c r="B24" s="13">
        <v>1</v>
      </c>
    </row>
    <row r="25" spans="1:2" x14ac:dyDescent="0.25">
      <c r="A25" s="14" t="s">
        <v>51</v>
      </c>
      <c r="B25" s="13">
        <v>1</v>
      </c>
    </row>
    <row r="26" spans="1:2" x14ac:dyDescent="0.25">
      <c r="A26" s="12" t="s">
        <v>43</v>
      </c>
      <c r="B26" s="13">
        <v>5</v>
      </c>
    </row>
    <row r="27" spans="1:2" x14ac:dyDescent="0.25">
      <c r="A27" s="14" t="s">
        <v>28</v>
      </c>
      <c r="B27" s="13">
        <v>5</v>
      </c>
    </row>
    <row r="28" spans="1:2" x14ac:dyDescent="0.25">
      <c r="A28" s="12" t="s">
        <v>39</v>
      </c>
      <c r="B28" s="13">
        <v>10</v>
      </c>
    </row>
    <row r="29" spans="1:2" x14ac:dyDescent="0.25">
      <c r="A29" s="14" t="s">
        <v>27</v>
      </c>
      <c r="B29" s="13">
        <v>10</v>
      </c>
    </row>
    <row r="30" spans="1:2" x14ac:dyDescent="0.25">
      <c r="A30" s="12" t="s">
        <v>36</v>
      </c>
      <c r="B30" s="13">
        <v>2</v>
      </c>
    </row>
    <row r="31" spans="1:2" x14ac:dyDescent="0.25">
      <c r="A31" s="14" t="s">
        <v>27</v>
      </c>
      <c r="B31" s="13">
        <v>2</v>
      </c>
    </row>
    <row r="32" spans="1:2" x14ac:dyDescent="0.25">
      <c r="A32" s="12" t="s">
        <v>55</v>
      </c>
      <c r="B32" s="13">
        <v>126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EA1EC-1DF3-4B02-B3C8-C6097CFD0C97}">
  <dimension ref="A1:B15"/>
  <sheetViews>
    <sheetView tabSelected="1" workbookViewId="0"/>
  </sheetViews>
  <sheetFormatPr defaultRowHeight="15" x14ac:dyDescent="0.25"/>
  <cols>
    <col min="1" max="1" width="13.42578125" bestFit="1" customWidth="1"/>
    <col min="2" max="2" width="19.7109375" bestFit="1" customWidth="1"/>
  </cols>
  <sheetData>
    <row r="1" spans="1:2" x14ac:dyDescent="0.25">
      <c r="A1" s="11" t="s">
        <v>54</v>
      </c>
      <c r="B1" t="s">
        <v>52</v>
      </c>
    </row>
    <row r="2" spans="1:2" x14ac:dyDescent="0.25">
      <c r="A2" s="12" t="s">
        <v>51</v>
      </c>
      <c r="B2" s="13">
        <v>285992</v>
      </c>
    </row>
    <row r="3" spans="1:2" x14ac:dyDescent="0.25">
      <c r="A3" s="14" t="s">
        <v>13</v>
      </c>
      <c r="B3" s="13">
        <v>128000</v>
      </c>
    </row>
    <row r="4" spans="1:2" x14ac:dyDescent="0.25">
      <c r="A4" s="14" t="s">
        <v>14</v>
      </c>
      <c r="B4" s="13">
        <v>22192</v>
      </c>
    </row>
    <row r="5" spans="1:2" x14ac:dyDescent="0.25">
      <c r="A5" s="14" t="s">
        <v>17</v>
      </c>
      <c r="B5" s="13">
        <v>135800</v>
      </c>
    </row>
    <row r="6" spans="1:2" x14ac:dyDescent="0.25">
      <c r="A6" s="12" t="s">
        <v>27</v>
      </c>
      <c r="B6" s="13">
        <v>48290</v>
      </c>
    </row>
    <row r="7" spans="1:2" x14ac:dyDescent="0.25">
      <c r="A7" s="14" t="s">
        <v>15</v>
      </c>
      <c r="B7" s="13">
        <v>27490</v>
      </c>
    </row>
    <row r="8" spans="1:2" x14ac:dyDescent="0.25">
      <c r="A8" s="14" t="s">
        <v>16</v>
      </c>
      <c r="B8" s="13">
        <v>13800</v>
      </c>
    </row>
    <row r="9" spans="1:2" x14ac:dyDescent="0.25">
      <c r="A9" s="14" t="s">
        <v>19</v>
      </c>
      <c r="B9" s="13">
        <v>7000</v>
      </c>
    </row>
    <row r="10" spans="1:2" x14ac:dyDescent="0.25">
      <c r="A10" s="12" t="s">
        <v>28</v>
      </c>
      <c r="B10" s="13">
        <v>7425</v>
      </c>
    </row>
    <row r="11" spans="1:2" x14ac:dyDescent="0.25">
      <c r="A11" s="14" t="s">
        <v>18</v>
      </c>
      <c r="B11" s="13">
        <v>1600</v>
      </c>
    </row>
    <row r="12" spans="1:2" x14ac:dyDescent="0.25">
      <c r="A12" s="14" t="s">
        <v>20</v>
      </c>
      <c r="B12" s="13">
        <v>2700</v>
      </c>
    </row>
    <row r="13" spans="1:2" x14ac:dyDescent="0.25">
      <c r="A13" s="14" t="s">
        <v>21</v>
      </c>
      <c r="B13" s="13">
        <v>1375</v>
      </c>
    </row>
    <row r="14" spans="1:2" x14ac:dyDescent="0.25">
      <c r="A14" s="14" t="s">
        <v>22</v>
      </c>
      <c r="B14" s="13">
        <v>1750</v>
      </c>
    </row>
    <row r="15" spans="1:2" x14ac:dyDescent="0.25">
      <c r="A15" s="12" t="s">
        <v>55</v>
      </c>
      <c r="B15" s="13">
        <v>341707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470A-D4D3-455A-9D3B-86A05B1759A7}">
  <dimension ref="A1:B5"/>
  <sheetViews>
    <sheetView workbookViewId="0"/>
  </sheetViews>
  <sheetFormatPr defaultRowHeight="15" x14ac:dyDescent="0.25"/>
  <cols>
    <col min="1" max="1" width="13.42578125" bestFit="1" customWidth="1"/>
    <col min="2" max="2" width="19.7109375" bestFit="1" customWidth="1"/>
  </cols>
  <sheetData>
    <row r="1" spans="1:2" x14ac:dyDescent="0.25">
      <c r="A1" s="11" t="s">
        <v>54</v>
      </c>
      <c r="B1" t="s">
        <v>52</v>
      </c>
    </row>
    <row r="2" spans="1:2" x14ac:dyDescent="0.25">
      <c r="A2" s="12" t="s">
        <v>51</v>
      </c>
      <c r="B2" s="13">
        <v>285992</v>
      </c>
    </row>
    <row r="3" spans="1:2" x14ac:dyDescent="0.25">
      <c r="A3" s="12" t="s">
        <v>27</v>
      </c>
      <c r="B3" s="13">
        <v>48290</v>
      </c>
    </row>
    <row r="4" spans="1:2" x14ac:dyDescent="0.25">
      <c r="A4" s="12" t="s">
        <v>28</v>
      </c>
      <c r="B4" s="13">
        <v>7425</v>
      </c>
    </row>
    <row r="5" spans="1:2" x14ac:dyDescent="0.25">
      <c r="A5" s="12" t="s">
        <v>55</v>
      </c>
      <c r="B5" s="13">
        <v>341707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2F95D-A055-4111-A71E-9F385DA6ADAB}">
  <dimension ref="A1:I25"/>
  <sheetViews>
    <sheetView zoomScale="112" zoomScaleNormal="112" workbookViewId="0">
      <selection activeCell="D19" sqref="D19"/>
    </sheetView>
  </sheetViews>
  <sheetFormatPr defaultRowHeight="15" x14ac:dyDescent="0.25"/>
  <cols>
    <col min="1" max="1" width="28.140625" customWidth="1"/>
    <col min="2" max="2" width="14.5703125" customWidth="1"/>
    <col min="3" max="3" width="21.85546875" customWidth="1"/>
    <col min="4" max="4" width="21.140625" customWidth="1"/>
    <col min="5" max="5" width="15.28515625" customWidth="1"/>
    <col min="6" max="6" width="17.85546875" customWidth="1"/>
    <col min="7" max="7" width="18.7109375" customWidth="1"/>
    <col min="8" max="8" width="20.140625" customWidth="1"/>
    <col min="9" max="9" width="11" customWidth="1"/>
  </cols>
  <sheetData>
    <row r="1" spans="1:9" s="2" customFormat="1" ht="24" x14ac:dyDescent="0.4">
      <c r="A1" s="3" t="s">
        <v>0</v>
      </c>
      <c r="B1" s="3" t="s">
        <v>23</v>
      </c>
      <c r="C1" s="3" t="s">
        <v>24</v>
      </c>
      <c r="D1" s="3" t="s">
        <v>25</v>
      </c>
      <c r="E1" s="3" t="s">
        <v>26</v>
      </c>
      <c r="F1" s="3" t="s">
        <v>1</v>
      </c>
      <c r="G1" s="3" t="s">
        <v>2</v>
      </c>
      <c r="H1" s="3" t="s">
        <v>44</v>
      </c>
      <c r="I1" s="3" t="s">
        <v>45</v>
      </c>
    </row>
    <row r="2" spans="1:9" ht="21" x14ac:dyDescent="0.35">
      <c r="A2" s="4" t="s">
        <v>3</v>
      </c>
      <c r="B2" s="4" t="s">
        <v>13</v>
      </c>
      <c r="C2" s="4" t="s">
        <v>51</v>
      </c>
      <c r="D2" s="4" t="s">
        <v>29</v>
      </c>
      <c r="E2" s="4">
        <v>2</v>
      </c>
      <c r="F2" s="7">
        <v>55000</v>
      </c>
      <c r="G2" s="5">
        <v>45691</v>
      </c>
      <c r="H2" s="7">
        <f t="shared" ref="H2:H16" si="0">E2*F2</f>
        <v>110000</v>
      </c>
      <c r="I2" s="6" t="str">
        <f>IF(H2&gt;50000, "High", "Normal")</f>
        <v>High</v>
      </c>
    </row>
    <row r="3" spans="1:9" ht="21" x14ac:dyDescent="0.35">
      <c r="A3" s="4" t="s">
        <v>4</v>
      </c>
      <c r="B3" s="4" t="s">
        <v>15</v>
      </c>
      <c r="C3" s="4" t="s">
        <v>27</v>
      </c>
      <c r="D3" s="4" t="s">
        <v>30</v>
      </c>
      <c r="E3" s="4">
        <v>5</v>
      </c>
      <c r="F3" s="7">
        <v>4500</v>
      </c>
      <c r="G3" s="5">
        <v>45693</v>
      </c>
      <c r="H3" s="7">
        <f t="shared" si="0"/>
        <v>22500</v>
      </c>
      <c r="I3" s="6" t="str">
        <f t="shared" ref="I3:I15" si="1">IF(H3&gt;50000, "High", "Normal")</f>
        <v>Normal</v>
      </c>
    </row>
    <row r="4" spans="1:9" ht="20.25" customHeight="1" x14ac:dyDescent="0.35">
      <c r="A4" s="4" t="s">
        <v>5</v>
      </c>
      <c r="B4" s="4" t="s">
        <v>14</v>
      </c>
      <c r="C4" s="4" t="s">
        <v>51</v>
      </c>
      <c r="D4" s="4" t="s">
        <v>31</v>
      </c>
      <c r="E4" s="4">
        <v>10</v>
      </c>
      <c r="F4" s="7">
        <v>1500</v>
      </c>
      <c r="G4" s="5">
        <v>45694</v>
      </c>
      <c r="H4" s="7">
        <f t="shared" si="0"/>
        <v>15000</v>
      </c>
      <c r="I4" s="6" t="str">
        <f t="shared" si="1"/>
        <v>Normal</v>
      </c>
    </row>
    <row r="5" spans="1:9" ht="21" x14ac:dyDescent="0.35">
      <c r="A5" s="4" t="s">
        <v>6</v>
      </c>
      <c r="B5" s="4" t="s">
        <v>16</v>
      </c>
      <c r="C5" s="4" t="s">
        <v>27</v>
      </c>
      <c r="D5" s="4" t="s">
        <v>32</v>
      </c>
      <c r="E5" s="4">
        <v>3</v>
      </c>
      <c r="F5" s="7">
        <v>2200</v>
      </c>
      <c r="G5" s="5">
        <v>45695</v>
      </c>
      <c r="H5" s="7">
        <f t="shared" si="0"/>
        <v>6600</v>
      </c>
      <c r="I5" s="6" t="str">
        <f t="shared" si="1"/>
        <v>Normal</v>
      </c>
    </row>
    <row r="6" spans="1:9" ht="21" x14ac:dyDescent="0.35">
      <c r="A6" s="4" t="s">
        <v>7</v>
      </c>
      <c r="B6" s="4" t="s">
        <v>17</v>
      </c>
      <c r="C6" s="4" t="s">
        <v>51</v>
      </c>
      <c r="D6" s="4" t="s">
        <v>33</v>
      </c>
      <c r="E6" s="4">
        <v>4</v>
      </c>
      <c r="F6" s="7">
        <v>32000</v>
      </c>
      <c r="G6" s="5">
        <v>45697</v>
      </c>
      <c r="H6" s="7">
        <f t="shared" si="0"/>
        <v>128000</v>
      </c>
      <c r="I6" s="6" t="str">
        <f t="shared" si="1"/>
        <v>High</v>
      </c>
    </row>
    <row r="7" spans="1:9" ht="21" x14ac:dyDescent="0.35">
      <c r="A7" s="4" t="s">
        <v>3</v>
      </c>
      <c r="B7" s="4" t="s">
        <v>13</v>
      </c>
      <c r="C7" s="4" t="s">
        <v>51</v>
      </c>
      <c r="D7" s="4" t="s">
        <v>34</v>
      </c>
      <c r="E7" s="4">
        <v>1</v>
      </c>
      <c r="F7" s="7">
        <v>18000</v>
      </c>
      <c r="G7" s="5">
        <v>45699</v>
      </c>
      <c r="H7" s="7">
        <f t="shared" si="0"/>
        <v>18000</v>
      </c>
      <c r="I7" s="6" t="str">
        <f t="shared" si="1"/>
        <v>Normal</v>
      </c>
    </row>
    <row r="8" spans="1:9" ht="21" x14ac:dyDescent="0.35">
      <c r="A8" s="4" t="s">
        <v>8</v>
      </c>
      <c r="B8" s="4" t="s">
        <v>18</v>
      </c>
      <c r="C8" s="4" t="s">
        <v>28</v>
      </c>
      <c r="D8" s="4" t="s">
        <v>35</v>
      </c>
      <c r="E8" s="4">
        <v>20</v>
      </c>
      <c r="F8" s="7">
        <v>80</v>
      </c>
      <c r="G8" s="5">
        <v>45700</v>
      </c>
      <c r="H8" s="7">
        <f t="shared" si="0"/>
        <v>1600</v>
      </c>
      <c r="I8" s="6" t="str">
        <f t="shared" si="1"/>
        <v>Normal</v>
      </c>
    </row>
    <row r="9" spans="1:9" ht="21" x14ac:dyDescent="0.35">
      <c r="A9" s="4" t="s">
        <v>9</v>
      </c>
      <c r="B9" s="4" t="s">
        <v>19</v>
      </c>
      <c r="C9" s="4" t="s">
        <v>27</v>
      </c>
      <c r="D9" s="4" t="s">
        <v>36</v>
      </c>
      <c r="E9" s="4">
        <v>2</v>
      </c>
      <c r="F9" s="7">
        <v>3500</v>
      </c>
      <c r="G9" s="5">
        <v>45702</v>
      </c>
      <c r="H9" s="7">
        <f t="shared" si="0"/>
        <v>7000</v>
      </c>
      <c r="I9" s="6" t="str">
        <f t="shared" si="1"/>
        <v>Normal</v>
      </c>
    </row>
    <row r="10" spans="1:9" ht="21" x14ac:dyDescent="0.35">
      <c r="A10" s="4" t="s">
        <v>10</v>
      </c>
      <c r="B10" s="4" t="s">
        <v>20</v>
      </c>
      <c r="C10" s="4" t="s">
        <v>28</v>
      </c>
      <c r="D10" s="4" t="s">
        <v>37</v>
      </c>
      <c r="E10" s="4">
        <v>15</v>
      </c>
      <c r="F10" s="7">
        <v>180</v>
      </c>
      <c r="G10" s="5">
        <v>45703</v>
      </c>
      <c r="H10" s="7">
        <f t="shared" si="0"/>
        <v>2700</v>
      </c>
      <c r="I10" s="6" t="str">
        <f t="shared" si="1"/>
        <v>Normal</v>
      </c>
    </row>
    <row r="11" spans="1:9" ht="21" x14ac:dyDescent="0.35">
      <c r="A11" s="4" t="s">
        <v>5</v>
      </c>
      <c r="B11" s="4" t="s">
        <v>14</v>
      </c>
      <c r="C11" s="4" t="s">
        <v>51</v>
      </c>
      <c r="D11" s="4" t="s">
        <v>38</v>
      </c>
      <c r="E11" s="4">
        <v>8</v>
      </c>
      <c r="F11" s="7">
        <v>899</v>
      </c>
      <c r="G11" s="5">
        <v>45706</v>
      </c>
      <c r="H11" s="7">
        <f t="shared" si="0"/>
        <v>7192</v>
      </c>
      <c r="I11" s="6" t="str">
        <f t="shared" si="1"/>
        <v>Normal</v>
      </c>
    </row>
    <row r="12" spans="1:9" ht="21" x14ac:dyDescent="0.35">
      <c r="A12" s="4" t="s">
        <v>4</v>
      </c>
      <c r="B12" s="4" t="s">
        <v>15</v>
      </c>
      <c r="C12" s="4" t="s">
        <v>27</v>
      </c>
      <c r="D12" s="4" t="s">
        <v>39</v>
      </c>
      <c r="E12" s="4">
        <v>10</v>
      </c>
      <c r="F12" s="7">
        <v>499</v>
      </c>
      <c r="G12" s="5">
        <v>45708</v>
      </c>
      <c r="H12" s="7">
        <f t="shared" si="0"/>
        <v>4990</v>
      </c>
      <c r="I12" s="6" t="str">
        <f t="shared" si="1"/>
        <v>Normal</v>
      </c>
    </row>
    <row r="13" spans="1:9" ht="21" x14ac:dyDescent="0.35">
      <c r="A13" s="4" t="s">
        <v>11</v>
      </c>
      <c r="B13" s="4" t="s">
        <v>21</v>
      </c>
      <c r="C13" s="4" t="s">
        <v>28</v>
      </c>
      <c r="D13" s="4" t="s">
        <v>40</v>
      </c>
      <c r="E13" s="4">
        <v>25</v>
      </c>
      <c r="F13" s="7">
        <v>55</v>
      </c>
      <c r="G13" s="5">
        <v>45710</v>
      </c>
      <c r="H13" s="7">
        <f t="shared" si="0"/>
        <v>1375</v>
      </c>
      <c r="I13" s="6" t="str">
        <f t="shared" si="1"/>
        <v>Normal</v>
      </c>
    </row>
    <row r="14" spans="1:9" ht="21" x14ac:dyDescent="0.35">
      <c r="A14" s="4" t="s">
        <v>6</v>
      </c>
      <c r="B14" s="4" t="s">
        <v>16</v>
      </c>
      <c r="C14" s="4" t="s">
        <v>27</v>
      </c>
      <c r="D14" s="4" t="s">
        <v>41</v>
      </c>
      <c r="E14" s="4">
        <v>4</v>
      </c>
      <c r="F14" s="7">
        <v>1800</v>
      </c>
      <c r="G14" s="5">
        <v>45712</v>
      </c>
      <c r="H14" s="7">
        <f t="shared" si="0"/>
        <v>7200</v>
      </c>
      <c r="I14" s="6" t="str">
        <f t="shared" si="1"/>
        <v>Normal</v>
      </c>
    </row>
    <row r="15" spans="1:9" ht="21" x14ac:dyDescent="0.35">
      <c r="A15" s="4" t="s">
        <v>7</v>
      </c>
      <c r="B15" s="4" t="s">
        <v>17</v>
      </c>
      <c r="C15" s="4" t="s">
        <v>51</v>
      </c>
      <c r="D15" s="4" t="s">
        <v>42</v>
      </c>
      <c r="E15" s="4">
        <v>12</v>
      </c>
      <c r="F15" s="7">
        <v>650</v>
      </c>
      <c r="G15" s="5">
        <v>45714</v>
      </c>
      <c r="H15" s="7">
        <f t="shared" si="0"/>
        <v>7800</v>
      </c>
      <c r="I15" s="6" t="str">
        <f t="shared" si="1"/>
        <v>Normal</v>
      </c>
    </row>
    <row r="16" spans="1:9" ht="21" x14ac:dyDescent="0.35">
      <c r="A16" s="4" t="s">
        <v>12</v>
      </c>
      <c r="B16" s="4" t="s">
        <v>22</v>
      </c>
      <c r="C16" s="4" t="s">
        <v>28</v>
      </c>
      <c r="D16" s="4" t="s">
        <v>43</v>
      </c>
      <c r="E16" s="4">
        <v>5</v>
      </c>
      <c r="F16" s="7">
        <v>350</v>
      </c>
      <c r="G16" s="5">
        <v>45716</v>
      </c>
      <c r="H16" s="7">
        <f t="shared" si="0"/>
        <v>1750</v>
      </c>
      <c r="I16" s="6" t="str">
        <f>IF(H16&gt;50000, "High", "Normal")</f>
        <v>Normal</v>
      </c>
    </row>
    <row r="17" spans="1:8" ht="21" x14ac:dyDescent="0.35">
      <c r="A17" s="1"/>
      <c r="B17" s="1"/>
      <c r="C17" s="1"/>
      <c r="D17" s="1"/>
      <c r="E17" s="1"/>
      <c r="F17" s="1"/>
      <c r="G17" s="1"/>
      <c r="H17" s="1"/>
    </row>
    <row r="18" spans="1:8" ht="21" x14ac:dyDescent="0.35">
      <c r="A18" s="8" t="s">
        <v>46</v>
      </c>
      <c r="B18" s="9">
        <f>SUM(H2:H16)</f>
        <v>341707</v>
      </c>
      <c r="C18" s="1"/>
      <c r="D18" s="1"/>
      <c r="E18" s="1"/>
      <c r="F18" s="1"/>
      <c r="G18" s="1"/>
      <c r="H18" s="1"/>
    </row>
    <row r="19" spans="1:8" ht="21" x14ac:dyDescent="0.35">
      <c r="A19" s="1" t="s">
        <v>47</v>
      </c>
      <c r="B19" s="9">
        <f>AVERAGE(H2:H16)</f>
        <v>22780.466666666667</v>
      </c>
      <c r="E19" s="1"/>
      <c r="F19" s="1"/>
      <c r="G19" s="1"/>
      <c r="H19" s="1"/>
    </row>
    <row r="20" spans="1:8" ht="21" x14ac:dyDescent="0.35">
      <c r="A20" s="1" t="s">
        <v>48</v>
      </c>
      <c r="B20" s="9">
        <f>MAX(H2:H16)</f>
        <v>128000</v>
      </c>
      <c r="C20" s="1"/>
      <c r="D20" s="1"/>
      <c r="E20" s="1"/>
      <c r="F20" s="1"/>
      <c r="G20" s="1"/>
      <c r="H20" s="1"/>
    </row>
    <row r="21" spans="1:8" ht="21" x14ac:dyDescent="0.35">
      <c r="A21" s="1" t="s">
        <v>49</v>
      </c>
      <c r="B21" s="1">
        <f>COUNTIF(C2:C16, "Fashion")</f>
        <v>5</v>
      </c>
      <c r="C21" s="1"/>
      <c r="D21" s="1"/>
      <c r="E21" s="1"/>
      <c r="F21" s="1"/>
      <c r="G21" s="1"/>
      <c r="H21" s="1"/>
    </row>
    <row r="22" spans="1:8" ht="21" x14ac:dyDescent="0.35">
      <c r="A22" s="1" t="s">
        <v>50</v>
      </c>
      <c r="B22" s="10">
        <f>SUMIF(C2:C16, "Electronics", H2:H16)</f>
        <v>285992</v>
      </c>
      <c r="C22" s="1"/>
      <c r="D22" s="1"/>
      <c r="E22" s="1"/>
      <c r="F22" s="1"/>
      <c r="G22" s="1"/>
      <c r="H22" s="1"/>
    </row>
    <row r="23" spans="1:8" ht="21" x14ac:dyDescent="0.35">
      <c r="A23" s="1"/>
      <c r="B23" s="1"/>
      <c r="C23" s="1"/>
      <c r="D23" s="1"/>
      <c r="E23" s="1"/>
      <c r="F23" s="1"/>
      <c r="G23" s="1"/>
      <c r="H23" s="1"/>
    </row>
    <row r="24" spans="1:8" ht="21" x14ac:dyDescent="0.35">
      <c r="A24" s="1"/>
      <c r="B24" s="1"/>
      <c r="C24" s="1"/>
      <c r="D24" s="1"/>
      <c r="E24" s="1"/>
      <c r="F24" s="1"/>
      <c r="G24" s="1"/>
      <c r="H24" s="1"/>
    </row>
    <row r="25" spans="1:8" ht="21" x14ac:dyDescent="0.35">
      <c r="A25" s="1"/>
      <c r="B25" s="1"/>
      <c r="C25" s="1"/>
      <c r="D25" s="1"/>
      <c r="E25" s="1"/>
      <c r="F25" s="1"/>
      <c r="G25" s="1"/>
      <c r="H25" s="1"/>
    </row>
  </sheetData>
  <sortState xmlns:xlrd2="http://schemas.microsoft.com/office/spreadsheetml/2017/richdata2" ref="A2:H16">
    <sortCondition ref="G2:G16"/>
  </sortState>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Sheet3</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Kumar</dc:creator>
  <cp:lastModifiedBy>Ayush Kumar</cp:lastModifiedBy>
  <dcterms:created xsi:type="dcterms:W3CDTF">2026-09-22T13:13:53Z</dcterms:created>
  <dcterms:modified xsi:type="dcterms:W3CDTF">2026-09-22T15:50:38Z</dcterms:modified>
</cp:coreProperties>
</file>